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50849\Documents\DALILA\1. 2026\Relatório Diagnóstico - Daniel\Relatório Diagnóstico 2026\"/>
    </mc:Choice>
  </mc:AlternateContent>
  <xr:revisionPtr revIDLastSave="0" documentId="8_{BFC9FD46-DECA-4052-B126-8F01BB0A34DE}" xr6:coauthVersionLast="47" xr6:coauthVersionMax="47" xr10:uidLastSave="{00000000-0000-0000-0000-000000000000}"/>
  <bookViews>
    <workbookView xWindow="-120" yWindow="-120" windowWidth="29040" windowHeight="15720" activeTab="1" xr2:uid="{82DFB80E-52E5-4607-AEAE-0DC5D0997A95}"/>
  </bookViews>
  <sheets>
    <sheet name="Estrutura e Força de Trabalho" sheetId="1" r:id="rId1"/>
    <sheet name="Movimentação Processual" sheetId="2" r:id="rId2"/>
    <sheet name="Instalações Prediais" sheetId="3" r:id="rId3"/>
    <sheet name="Dados do Estado" sheetId="6" r:id="rId4"/>
  </sheets>
  <definedNames>
    <definedName name="_Toc158019353" localSheetId="0">'Estrutura e Força de Trabalho'!$A$1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3" l="1"/>
  <c r="H22" i="2"/>
  <c r="H21" i="2"/>
  <c r="H20" i="2"/>
  <c r="H19" i="2"/>
  <c r="H18" i="2"/>
  <c r="H15" i="2"/>
  <c r="H14" i="2"/>
  <c r="H13" i="2"/>
  <c r="H12" i="2"/>
  <c r="H11" i="2"/>
  <c r="H8" i="2"/>
  <c r="H7" i="2"/>
  <c r="H6" i="2"/>
  <c r="H5" i="2"/>
  <c r="H4" i="2"/>
</calcChain>
</file>

<file path=xl/sharedStrings.xml><?xml version="1.0" encoding="utf-8"?>
<sst xmlns="http://schemas.openxmlformats.org/spreadsheetml/2006/main" count="75" uniqueCount="54">
  <si>
    <t>1ª Instância</t>
  </si>
  <si>
    <t>Váras instaladas</t>
  </si>
  <si>
    <t>Juizados especiais e turmas recursais</t>
  </si>
  <si>
    <t>CEJUSCs instalados</t>
  </si>
  <si>
    <t>CEJUSCs especializados</t>
  </si>
  <si>
    <t>Núcleos de justiça 4.0 - 1ª Instância</t>
  </si>
  <si>
    <t>Quantidade</t>
  </si>
  <si>
    <t>Câmaras cíveis</t>
  </si>
  <si>
    <t>Câmaras criminais</t>
  </si>
  <si>
    <t>Cartórios</t>
  </si>
  <si>
    <t>CEJUSC Segundo Grau</t>
  </si>
  <si>
    <t>Núcleos de justiça 4.0 - 2ª Instância</t>
  </si>
  <si>
    <t>2ª Instância</t>
  </si>
  <si>
    <t>Estrutura e Força de Trabalho do TJMG - 2024</t>
  </si>
  <si>
    <t>Servidores</t>
  </si>
  <si>
    <t>Juízes</t>
  </si>
  <si>
    <t>Juízes leigos</t>
  </si>
  <si>
    <t>Colaborades da Justiça</t>
  </si>
  <si>
    <t>Terceirizados</t>
  </si>
  <si>
    <t>Estagiários</t>
  </si>
  <si>
    <t>Voluntários</t>
  </si>
  <si>
    <t>Conciliadores e mediadores</t>
  </si>
  <si>
    <t>Força de Trabalho e colaboradores na área de TIC - 2024</t>
  </si>
  <si>
    <t>Área de TIC</t>
  </si>
  <si>
    <t>PROCESSOS DISTRIBUÍDOS</t>
  </si>
  <si>
    <t>Instância</t>
  </si>
  <si>
    <t>Média</t>
  </si>
  <si>
    <t>Justiça Comum</t>
  </si>
  <si>
    <t>Juizado Especial</t>
  </si>
  <si>
    <t>Turma Recursal</t>
  </si>
  <si>
    <t>2º Grau</t>
  </si>
  <si>
    <t>Total</t>
  </si>
  <si>
    <t>JULGAMENTOS</t>
  </si>
  <si>
    <t>ACERVO DE FEITOS ATIVOS NO ÚLTIMO DIA DO ANO</t>
  </si>
  <si>
    <t>Instalações Prediais</t>
  </si>
  <si>
    <t>Tipo</t>
  </si>
  <si>
    <t>Prédios próprios</t>
  </si>
  <si>
    <t>Prédios alugados</t>
  </si>
  <si>
    <t>Prédios cedidos</t>
  </si>
  <si>
    <t>Em desapropriação</t>
  </si>
  <si>
    <t>Extensão territorial do Estado de Minas Gerais</t>
  </si>
  <si>
    <t>População estimada do Estado de Minas Gerais</t>
  </si>
  <si>
    <t>Número total de municípios do Estado de Minas Gerais</t>
  </si>
  <si>
    <t>Número de comarcas instaladas</t>
  </si>
  <si>
    <t>Número de unidades prisionais</t>
  </si>
  <si>
    <t>Informações do Estado de Minas Gerais</t>
  </si>
  <si>
    <t>Fóruns digitais</t>
  </si>
  <si>
    <t>Salas de depoimento especial instaladas</t>
  </si>
  <si>
    <t>Central de Processo Eletrônico instalada</t>
  </si>
  <si>
    <t>Número de Servidores</t>
  </si>
  <si>
    <t>Número de Desembargadores</t>
  </si>
  <si>
    <t>Número de Terceirizados</t>
  </si>
  <si>
    <t>Número de Estagiários</t>
  </si>
  <si>
    <t>Número de Juízes Leigos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</si>
</sst>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434343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1" xfId="0" applyFont="1" applyFill="1" applyBorder="1" applyAlignment="1"/>
    <xf numFmtId="0" fontId="2" fillId="0" borderId="1" xfId="0" applyFont="1" applyFill="1" applyBorder="1"/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3" fontId="0" fillId="0" borderId="0" xfId="0" applyNumberFormat="1"/>
    <xf numFmtId="0" fontId="0" fillId="0" borderId="0" xfId="0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3" fontId="7" fillId="5" borderId="6" xfId="0" applyNumberFormat="1" applyFont="1" applyFill="1" applyBorder="1" applyAlignment="1">
      <alignment horizontal="center" vertical="center"/>
    </xf>
    <xf numFmtId="3" fontId="7" fillId="5" borderId="7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3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center"/>
    </xf>
    <xf numFmtId="3" fontId="8" fillId="6" borderId="7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3" borderId="0" xfId="0" applyFont="1" applyFill="1" applyAlignment="1">
      <alignment horizont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24BE-D75C-496B-96E9-400F74B15D0B}">
  <dimension ref="A1:B32"/>
  <sheetViews>
    <sheetView showGridLines="0" workbookViewId="0">
      <selection activeCell="G30" sqref="G30"/>
    </sheetView>
  </sheetViews>
  <sheetFormatPr defaultRowHeight="15" x14ac:dyDescent="0.25"/>
  <cols>
    <col min="1" max="1" width="46.42578125" customWidth="1"/>
    <col min="2" max="2" width="33.28515625" customWidth="1"/>
  </cols>
  <sheetData>
    <row r="1" spans="1:2" ht="18.75" x14ac:dyDescent="0.3">
      <c r="A1" s="29" t="s">
        <v>13</v>
      </c>
      <c r="B1" s="29"/>
    </row>
    <row r="2" spans="1:2" ht="15.75" x14ac:dyDescent="0.25">
      <c r="A2" s="2" t="s">
        <v>0</v>
      </c>
      <c r="B2" s="2" t="s">
        <v>6</v>
      </c>
    </row>
    <row r="3" spans="1:2" ht="15.75" x14ac:dyDescent="0.25">
      <c r="A3" s="3" t="s">
        <v>1</v>
      </c>
      <c r="B3" s="4"/>
    </row>
    <row r="4" spans="1:2" ht="15.75" x14ac:dyDescent="0.25">
      <c r="A4" s="5" t="s">
        <v>2</v>
      </c>
      <c r="B4" s="4"/>
    </row>
    <row r="5" spans="1:2" ht="15.75" x14ac:dyDescent="0.25">
      <c r="A5" s="5" t="s">
        <v>3</v>
      </c>
      <c r="B5" s="4"/>
    </row>
    <row r="6" spans="1:2" ht="15.75" x14ac:dyDescent="0.25">
      <c r="A6" s="5" t="s">
        <v>4</v>
      </c>
      <c r="B6" s="4"/>
    </row>
    <row r="7" spans="1:2" ht="15.75" x14ac:dyDescent="0.25">
      <c r="A7" s="5" t="s">
        <v>46</v>
      </c>
      <c r="B7" s="4"/>
    </row>
    <row r="8" spans="1:2" ht="15.75" x14ac:dyDescent="0.25">
      <c r="A8" s="5" t="s">
        <v>48</v>
      </c>
      <c r="B8" s="4"/>
    </row>
    <row r="9" spans="1:2" ht="15.75" x14ac:dyDescent="0.25">
      <c r="A9" s="5" t="s">
        <v>5</v>
      </c>
      <c r="B9" s="4"/>
    </row>
    <row r="10" spans="1:2" ht="15.75" x14ac:dyDescent="0.25">
      <c r="A10" s="5" t="s">
        <v>47</v>
      </c>
      <c r="B10" s="4"/>
    </row>
    <row r="11" spans="1:2" ht="15.75" x14ac:dyDescent="0.25">
      <c r="A11" s="6" t="s">
        <v>14</v>
      </c>
      <c r="B11" s="4"/>
    </row>
    <row r="12" spans="1:2" ht="15.75" x14ac:dyDescent="0.25">
      <c r="A12" s="6" t="s">
        <v>15</v>
      </c>
      <c r="B12" s="4"/>
    </row>
    <row r="13" spans="1:2" ht="15.75" x14ac:dyDescent="0.25">
      <c r="A13" s="6" t="s">
        <v>16</v>
      </c>
      <c r="B13" s="4"/>
    </row>
    <row r="14" spans="1:2" ht="15.75" x14ac:dyDescent="0.25">
      <c r="A14" s="2" t="s">
        <v>12</v>
      </c>
      <c r="B14" s="2" t="s">
        <v>6</v>
      </c>
    </row>
    <row r="15" spans="1:2" ht="15.75" x14ac:dyDescent="0.25">
      <c r="A15" s="5" t="s">
        <v>7</v>
      </c>
      <c r="B15" s="4"/>
    </row>
    <row r="16" spans="1:2" ht="15.75" x14ac:dyDescent="0.25">
      <c r="A16" s="5" t="s">
        <v>8</v>
      </c>
      <c r="B16" s="4"/>
    </row>
    <row r="17" spans="1:2" ht="15.75" x14ac:dyDescent="0.25">
      <c r="A17" s="5" t="s">
        <v>9</v>
      </c>
      <c r="B17" s="4"/>
    </row>
    <row r="18" spans="1:2" ht="15.75" x14ac:dyDescent="0.25">
      <c r="A18" s="5" t="s">
        <v>10</v>
      </c>
      <c r="B18" s="4"/>
    </row>
    <row r="19" spans="1:2" ht="15.75" x14ac:dyDescent="0.25">
      <c r="A19" s="5" t="s">
        <v>11</v>
      </c>
      <c r="B19" s="4"/>
    </row>
    <row r="20" spans="1:2" ht="15.75" x14ac:dyDescent="0.25">
      <c r="A20" s="5" t="s">
        <v>49</v>
      </c>
      <c r="B20" s="4"/>
    </row>
    <row r="21" spans="1:2" ht="15.75" x14ac:dyDescent="0.25">
      <c r="A21" s="5" t="s">
        <v>50</v>
      </c>
      <c r="B21" s="4"/>
    </row>
    <row r="22" spans="1:2" ht="15.75" x14ac:dyDescent="0.25">
      <c r="A22" s="2" t="s">
        <v>17</v>
      </c>
      <c r="B22" s="2" t="s">
        <v>6</v>
      </c>
    </row>
    <row r="23" spans="1:2" ht="15.75" x14ac:dyDescent="0.25">
      <c r="A23" s="5" t="s">
        <v>51</v>
      </c>
      <c r="B23" s="4"/>
    </row>
    <row r="24" spans="1:2" ht="15.75" x14ac:dyDescent="0.25">
      <c r="A24" s="5" t="s">
        <v>52</v>
      </c>
      <c r="B24" s="4"/>
    </row>
    <row r="25" spans="1:2" ht="15.75" x14ac:dyDescent="0.25">
      <c r="A25" s="5" t="s">
        <v>53</v>
      </c>
      <c r="B25" s="4"/>
    </row>
    <row r="26" spans="1:2" ht="15.75" x14ac:dyDescent="0.25">
      <c r="A26" s="5" t="s">
        <v>20</v>
      </c>
      <c r="B26" s="4"/>
    </row>
    <row r="27" spans="1:2" ht="15.75" x14ac:dyDescent="0.25">
      <c r="A27" s="5" t="s">
        <v>21</v>
      </c>
      <c r="B27" s="4"/>
    </row>
    <row r="28" spans="1:2" ht="18.75" x14ac:dyDescent="0.3">
      <c r="A28" s="29" t="s">
        <v>22</v>
      </c>
      <c r="B28" s="29"/>
    </row>
    <row r="29" spans="1:2" x14ac:dyDescent="0.25">
      <c r="A29" s="1" t="s">
        <v>23</v>
      </c>
      <c r="B29" s="1" t="s">
        <v>6</v>
      </c>
    </row>
    <row r="30" spans="1:2" ht="15.75" x14ac:dyDescent="0.25">
      <c r="A30" s="5" t="s">
        <v>14</v>
      </c>
      <c r="B30" s="4"/>
    </row>
    <row r="31" spans="1:2" ht="15.75" x14ac:dyDescent="0.25">
      <c r="A31" s="5" t="s">
        <v>18</v>
      </c>
      <c r="B31" s="4"/>
    </row>
    <row r="32" spans="1:2" ht="15.75" x14ac:dyDescent="0.25">
      <c r="A32" s="5" t="s">
        <v>19</v>
      </c>
      <c r="B32" s="4"/>
    </row>
  </sheetData>
  <mergeCells count="2">
    <mergeCell ref="A1:B1"/>
    <mergeCell ref="A28:B2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3E31-E47A-45AB-9321-493794D60E5F}">
  <dimension ref="A1:I22"/>
  <sheetViews>
    <sheetView showGridLines="0" tabSelected="1" zoomScaleNormal="100" workbookViewId="0">
      <selection activeCell="J29" sqref="J29"/>
    </sheetView>
  </sheetViews>
  <sheetFormatPr defaultRowHeight="15" x14ac:dyDescent="0.25"/>
  <cols>
    <col min="1" max="1" width="17.42578125" style="8" bestFit="1" customWidth="1"/>
    <col min="2" max="7" width="19.140625" customWidth="1"/>
    <col min="8" max="8" width="13.42578125" customWidth="1"/>
  </cols>
  <sheetData>
    <row r="1" spans="1:9" ht="18.75" x14ac:dyDescent="0.3">
      <c r="A1" s="29" t="s">
        <v>13</v>
      </c>
      <c r="B1" s="29"/>
      <c r="C1" s="29"/>
      <c r="D1" s="29"/>
      <c r="E1" s="29"/>
      <c r="F1" s="29"/>
      <c r="G1" s="29"/>
      <c r="H1" s="29"/>
    </row>
    <row r="2" spans="1:9" ht="16.5" thickBot="1" x14ac:dyDescent="0.3">
      <c r="A2" s="32" t="s">
        <v>24</v>
      </c>
      <c r="B2" s="32"/>
      <c r="C2" s="32"/>
      <c r="D2" s="32"/>
      <c r="E2" s="32"/>
      <c r="F2" s="32"/>
      <c r="G2" s="32"/>
      <c r="H2" s="32"/>
    </row>
    <row r="3" spans="1:9" ht="16.5" thickBot="1" x14ac:dyDescent="0.3">
      <c r="A3" s="9" t="s">
        <v>25</v>
      </c>
      <c r="B3" s="10">
        <v>2020</v>
      </c>
      <c r="C3" s="10">
        <v>2021</v>
      </c>
      <c r="D3" s="10">
        <v>2022</v>
      </c>
      <c r="E3" s="10">
        <v>2023</v>
      </c>
      <c r="F3" s="10">
        <v>2024</v>
      </c>
      <c r="G3" s="11">
        <v>2025</v>
      </c>
      <c r="H3" s="10" t="s">
        <v>26</v>
      </c>
    </row>
    <row r="4" spans="1:9" ht="15.75" x14ac:dyDescent="0.25">
      <c r="A4" s="12" t="s">
        <v>27</v>
      </c>
      <c r="B4" s="13">
        <v>1191628</v>
      </c>
      <c r="C4" s="14">
        <v>1365924</v>
      </c>
      <c r="D4" s="14">
        <v>1565819</v>
      </c>
      <c r="E4" s="14">
        <v>1710153</v>
      </c>
      <c r="F4" s="14">
        <v>1675686</v>
      </c>
      <c r="G4" s="15"/>
      <c r="H4" s="14">
        <f>AVERAGE(B4:G4)</f>
        <v>1501842</v>
      </c>
    </row>
    <row r="5" spans="1:9" ht="15.75" x14ac:dyDescent="0.25">
      <c r="A5" s="16" t="s">
        <v>28</v>
      </c>
      <c r="B5" s="17">
        <v>534375</v>
      </c>
      <c r="C5" s="17">
        <v>536797</v>
      </c>
      <c r="D5" s="17">
        <v>558504</v>
      </c>
      <c r="E5" s="17">
        <v>622683</v>
      </c>
      <c r="F5" s="17">
        <v>661356</v>
      </c>
      <c r="G5" s="18"/>
      <c r="H5" s="17">
        <f t="shared" ref="H5:H8" si="0">AVERAGE(B5:G5)</f>
        <v>582743</v>
      </c>
      <c r="I5" s="7"/>
    </row>
    <row r="6" spans="1:9" ht="15.75" x14ac:dyDescent="0.25">
      <c r="A6" s="12" t="s">
        <v>29</v>
      </c>
      <c r="B6" s="14">
        <v>56088</v>
      </c>
      <c r="C6" s="14">
        <v>84268</v>
      </c>
      <c r="D6" s="14">
        <v>84215</v>
      </c>
      <c r="E6" s="14">
        <v>93299</v>
      </c>
      <c r="F6" s="14">
        <v>103728</v>
      </c>
      <c r="G6" s="15"/>
      <c r="H6" s="14">
        <f t="shared" si="0"/>
        <v>84319.6</v>
      </c>
    </row>
    <row r="7" spans="1:9" ht="15.75" x14ac:dyDescent="0.25">
      <c r="A7" s="16" t="s">
        <v>30</v>
      </c>
      <c r="B7" s="17">
        <v>199457</v>
      </c>
      <c r="C7" s="17">
        <v>222614</v>
      </c>
      <c r="D7" s="17">
        <v>227760</v>
      </c>
      <c r="E7" s="17">
        <v>271256</v>
      </c>
      <c r="F7" s="17">
        <v>334528</v>
      </c>
      <c r="G7" s="18"/>
      <c r="H7" s="17">
        <f t="shared" si="0"/>
        <v>251123</v>
      </c>
    </row>
    <row r="8" spans="1:9" ht="15.75" x14ac:dyDescent="0.25">
      <c r="A8" s="19" t="s">
        <v>31</v>
      </c>
      <c r="B8" s="20">
        <v>1981548</v>
      </c>
      <c r="C8" s="20">
        <v>2209603</v>
      </c>
      <c r="D8" s="20">
        <v>2436298</v>
      </c>
      <c r="E8" s="20">
        <v>2697391</v>
      </c>
      <c r="F8" s="20">
        <v>2775298</v>
      </c>
      <c r="G8" s="21"/>
      <c r="H8" s="20">
        <f t="shared" si="0"/>
        <v>2420027.6</v>
      </c>
    </row>
    <row r="9" spans="1:9" ht="16.5" thickBot="1" x14ac:dyDescent="0.3">
      <c r="A9" s="30" t="s">
        <v>32</v>
      </c>
      <c r="B9" s="31"/>
      <c r="C9" s="31"/>
      <c r="D9" s="31"/>
      <c r="E9" s="31"/>
      <c r="F9" s="31"/>
      <c r="G9" s="31"/>
      <c r="H9" s="31"/>
    </row>
    <row r="10" spans="1:9" ht="16.5" thickBot="1" x14ac:dyDescent="0.3">
      <c r="A10" s="22" t="s">
        <v>25</v>
      </c>
      <c r="B10" s="10">
        <v>2020</v>
      </c>
      <c r="C10" s="23">
        <v>2021</v>
      </c>
      <c r="D10" s="23">
        <v>2022</v>
      </c>
      <c r="E10" s="23">
        <v>2023</v>
      </c>
      <c r="F10" s="23">
        <v>2024</v>
      </c>
      <c r="G10" s="24">
        <v>2025</v>
      </c>
      <c r="H10" s="23" t="s">
        <v>26</v>
      </c>
    </row>
    <row r="11" spans="1:9" ht="15.75" x14ac:dyDescent="0.25">
      <c r="A11" s="12" t="s">
        <v>27</v>
      </c>
      <c r="B11" s="13">
        <v>878705</v>
      </c>
      <c r="C11" s="14">
        <v>1015223</v>
      </c>
      <c r="D11" s="14">
        <v>1185589</v>
      </c>
      <c r="E11" s="14">
        <v>1320950</v>
      </c>
      <c r="F11" s="14">
        <v>1412397</v>
      </c>
      <c r="G11" s="15"/>
      <c r="H11" s="14">
        <f>AVERAGE(B11:G11)</f>
        <v>1162572.8</v>
      </c>
    </row>
    <row r="12" spans="1:9" ht="15.75" x14ac:dyDescent="0.25">
      <c r="A12" s="16" t="s">
        <v>28</v>
      </c>
      <c r="B12" s="17">
        <v>460286</v>
      </c>
      <c r="C12" s="17">
        <v>636208</v>
      </c>
      <c r="D12" s="17">
        <v>810834</v>
      </c>
      <c r="E12" s="17">
        <v>932469</v>
      </c>
      <c r="F12" s="17">
        <v>920189</v>
      </c>
      <c r="G12" s="18"/>
      <c r="H12" s="17">
        <f>AVERAGE(B12:G12)</f>
        <v>751997.2</v>
      </c>
    </row>
    <row r="13" spans="1:9" ht="15.75" x14ac:dyDescent="0.25">
      <c r="A13" s="12" t="s">
        <v>29</v>
      </c>
      <c r="B13" s="14">
        <v>878705</v>
      </c>
      <c r="C13" s="14">
        <v>67797</v>
      </c>
      <c r="D13" s="14">
        <v>77926</v>
      </c>
      <c r="E13" s="14">
        <v>105764</v>
      </c>
      <c r="F13" s="14">
        <v>117904</v>
      </c>
      <c r="G13" s="15"/>
      <c r="H13" s="14">
        <f>AVERAGE(B13:G13)</f>
        <v>249619.20000000001</v>
      </c>
    </row>
    <row r="14" spans="1:9" ht="15.75" x14ac:dyDescent="0.25">
      <c r="A14" s="16" t="s">
        <v>30</v>
      </c>
      <c r="B14" s="17">
        <v>52746</v>
      </c>
      <c r="C14" s="17">
        <v>225454</v>
      </c>
      <c r="D14" s="17">
        <v>236418</v>
      </c>
      <c r="E14" s="17">
        <v>275286</v>
      </c>
      <c r="F14" s="17">
        <v>337993</v>
      </c>
      <c r="G14" s="18"/>
      <c r="H14" s="17">
        <f>AVERAGE(B14:G14)</f>
        <v>225579.4</v>
      </c>
    </row>
    <row r="15" spans="1:9" ht="15.75" x14ac:dyDescent="0.25">
      <c r="A15" s="19" t="s">
        <v>31</v>
      </c>
      <c r="B15" s="20">
        <v>2270442</v>
      </c>
      <c r="C15" s="20">
        <v>1944682</v>
      </c>
      <c r="D15" s="20">
        <v>2310767</v>
      </c>
      <c r="E15" s="20">
        <v>2634469</v>
      </c>
      <c r="F15" s="20">
        <v>2788483</v>
      </c>
      <c r="G15" s="21"/>
      <c r="H15" s="20">
        <f>AVERAGE(B15:G15)</f>
        <v>2389768.6</v>
      </c>
    </row>
    <row r="16" spans="1:9" ht="16.5" thickBot="1" x14ac:dyDescent="0.3">
      <c r="A16" s="30" t="s">
        <v>33</v>
      </c>
      <c r="B16" s="31"/>
      <c r="C16" s="31"/>
      <c r="D16" s="31"/>
      <c r="E16" s="31"/>
      <c r="F16" s="31"/>
      <c r="G16" s="31"/>
      <c r="H16" s="31"/>
    </row>
    <row r="17" spans="1:8" ht="16.5" thickBot="1" x14ac:dyDescent="0.3">
      <c r="A17" s="22" t="s">
        <v>25</v>
      </c>
      <c r="B17" s="10">
        <v>2020</v>
      </c>
      <c r="C17" s="23">
        <v>2021</v>
      </c>
      <c r="D17" s="23">
        <v>2022</v>
      </c>
      <c r="E17" s="23">
        <v>2023</v>
      </c>
      <c r="F17" s="23">
        <v>2024</v>
      </c>
      <c r="G17" s="24">
        <v>2025</v>
      </c>
      <c r="H17" s="23" t="s">
        <v>26</v>
      </c>
    </row>
    <row r="18" spans="1:8" ht="15.75" x14ac:dyDescent="0.25">
      <c r="A18" s="12" t="s">
        <v>27</v>
      </c>
      <c r="B18" s="13">
        <v>4255163</v>
      </c>
      <c r="C18" s="14">
        <v>4152223</v>
      </c>
      <c r="D18" s="14">
        <v>4233968</v>
      </c>
      <c r="E18" s="14">
        <v>4140228</v>
      </c>
      <c r="F18" s="14">
        <v>4042435</v>
      </c>
      <c r="G18" s="15"/>
      <c r="H18" s="14">
        <f>AVERAGE(B18:G18)</f>
        <v>4164803.4</v>
      </c>
    </row>
    <row r="19" spans="1:8" ht="15.75" x14ac:dyDescent="0.25">
      <c r="A19" s="16" t="s">
        <v>28</v>
      </c>
      <c r="B19" s="17">
        <v>1125405</v>
      </c>
      <c r="C19" s="17">
        <v>1125081</v>
      </c>
      <c r="D19" s="17">
        <v>1053185</v>
      </c>
      <c r="E19" s="17">
        <v>963386</v>
      </c>
      <c r="F19" s="17">
        <v>922153</v>
      </c>
      <c r="G19" s="18"/>
      <c r="H19" s="17">
        <f>AVERAGE(B19:G19)</f>
        <v>1037842</v>
      </c>
    </row>
    <row r="20" spans="1:8" ht="15.75" x14ac:dyDescent="0.25">
      <c r="A20" s="12" t="s">
        <v>29</v>
      </c>
      <c r="B20" s="14">
        <v>41272</v>
      </c>
      <c r="C20" s="14">
        <v>67940</v>
      </c>
      <c r="D20" s="14">
        <v>69541</v>
      </c>
      <c r="E20" s="14">
        <v>76573</v>
      </c>
      <c r="F20" s="14">
        <v>87801</v>
      </c>
      <c r="G20" s="15"/>
      <c r="H20" s="14">
        <f>AVERAGE(B20:G20)</f>
        <v>68625.399999999994</v>
      </c>
    </row>
    <row r="21" spans="1:8" ht="15.75" x14ac:dyDescent="0.25">
      <c r="A21" s="16" t="s">
        <v>30</v>
      </c>
      <c r="B21" s="17">
        <v>224715</v>
      </c>
      <c r="C21" s="17">
        <v>232448</v>
      </c>
      <c r="D21" s="17">
        <v>224156</v>
      </c>
      <c r="E21" s="17">
        <v>220826</v>
      </c>
      <c r="F21" s="17">
        <v>206944</v>
      </c>
      <c r="G21" s="18"/>
      <c r="H21" s="17">
        <f>AVERAGE(B21:G21)</f>
        <v>221817.8</v>
      </c>
    </row>
    <row r="22" spans="1:8" ht="15.75" x14ac:dyDescent="0.25">
      <c r="A22" s="19" t="s">
        <v>31</v>
      </c>
      <c r="B22" s="20">
        <v>5646555</v>
      </c>
      <c r="C22" s="20">
        <v>5577692</v>
      </c>
      <c r="D22" s="20">
        <v>5580850</v>
      </c>
      <c r="E22" s="20">
        <v>5401013</v>
      </c>
      <c r="F22" s="20">
        <v>5259333</v>
      </c>
      <c r="G22" s="21"/>
      <c r="H22" s="20">
        <f>AVERAGE(B22:G22)</f>
        <v>5493088.5999999996</v>
      </c>
    </row>
  </sheetData>
  <mergeCells count="4">
    <mergeCell ref="A16:H16"/>
    <mergeCell ref="A1:H1"/>
    <mergeCell ref="A2:H2"/>
    <mergeCell ref="A9:H9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18A9-6E25-45EB-A2D8-25719AB2C587}">
  <dimension ref="A1:B7"/>
  <sheetViews>
    <sheetView showGridLines="0" workbookViewId="0">
      <selection activeCell="E24" sqref="E24"/>
    </sheetView>
  </sheetViews>
  <sheetFormatPr defaultRowHeight="15" x14ac:dyDescent="0.25"/>
  <cols>
    <col min="1" max="1" width="36.5703125" bestFit="1" customWidth="1"/>
    <col min="2" max="2" width="12.5703125" bestFit="1" customWidth="1"/>
  </cols>
  <sheetData>
    <row r="1" spans="1:2" ht="18.75" x14ac:dyDescent="0.3">
      <c r="A1" s="29" t="s">
        <v>34</v>
      </c>
      <c r="B1" s="29"/>
    </row>
    <row r="2" spans="1:2" ht="15.75" x14ac:dyDescent="0.25">
      <c r="A2" s="2" t="s">
        <v>35</v>
      </c>
      <c r="B2" s="2" t="s">
        <v>6</v>
      </c>
    </row>
    <row r="3" spans="1:2" ht="15.75" x14ac:dyDescent="0.25">
      <c r="A3" s="3" t="s">
        <v>36</v>
      </c>
      <c r="B3" s="25"/>
    </row>
    <row r="4" spans="1:2" ht="15.75" x14ac:dyDescent="0.25">
      <c r="A4" s="5" t="s">
        <v>37</v>
      </c>
      <c r="B4" s="25"/>
    </row>
    <row r="5" spans="1:2" ht="15.75" x14ac:dyDescent="0.25">
      <c r="A5" s="5" t="s">
        <v>38</v>
      </c>
      <c r="B5" s="25"/>
    </row>
    <row r="6" spans="1:2" ht="15.75" x14ac:dyDescent="0.25">
      <c r="A6" s="5" t="s">
        <v>39</v>
      </c>
      <c r="B6" s="25"/>
    </row>
    <row r="7" spans="1:2" ht="15.75" x14ac:dyDescent="0.25">
      <c r="A7" s="5" t="s">
        <v>31</v>
      </c>
      <c r="B7" s="25">
        <f>SUM(B3:B6)</f>
        <v>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9D26-155B-4FFF-9785-5EA927D26405}">
  <dimension ref="A1:B13"/>
  <sheetViews>
    <sheetView workbookViewId="0">
      <selection activeCell="N23" sqref="N23"/>
    </sheetView>
  </sheetViews>
  <sheetFormatPr defaultRowHeight="15" x14ac:dyDescent="0.25"/>
  <cols>
    <col min="1" max="1" width="33.42578125" customWidth="1"/>
    <col min="2" max="2" width="18.42578125" customWidth="1"/>
  </cols>
  <sheetData>
    <row r="1" spans="1:2" x14ac:dyDescent="0.25">
      <c r="A1" s="33" t="s">
        <v>45</v>
      </c>
      <c r="B1" s="34"/>
    </row>
    <row r="2" spans="1:2" ht="30" x14ac:dyDescent="0.25">
      <c r="A2" s="28" t="s">
        <v>40</v>
      </c>
      <c r="B2" s="27"/>
    </row>
    <row r="3" spans="1:2" ht="39.75" customHeight="1" x14ac:dyDescent="0.25">
      <c r="A3" s="28" t="s">
        <v>41</v>
      </c>
      <c r="B3" s="27"/>
    </row>
    <row r="4" spans="1:2" ht="40.5" customHeight="1" x14ac:dyDescent="0.25">
      <c r="A4" s="28" t="s">
        <v>42</v>
      </c>
      <c r="B4" s="27"/>
    </row>
    <row r="5" spans="1:2" ht="28.5" customHeight="1" x14ac:dyDescent="0.25">
      <c r="A5" s="28" t="s">
        <v>43</v>
      </c>
      <c r="B5" s="27"/>
    </row>
    <row r="6" spans="1:2" ht="24.75" customHeight="1" x14ac:dyDescent="0.25">
      <c r="A6" s="28" t="s">
        <v>44</v>
      </c>
      <c r="B6" s="27"/>
    </row>
    <row r="7" spans="1:2" x14ac:dyDescent="0.25">
      <c r="A7" s="26"/>
    </row>
    <row r="8" spans="1:2" x14ac:dyDescent="0.25">
      <c r="A8" s="26"/>
    </row>
    <row r="9" spans="1:2" x14ac:dyDescent="0.25">
      <c r="A9" s="26"/>
    </row>
    <row r="10" spans="1:2" x14ac:dyDescent="0.25">
      <c r="A10" s="26"/>
    </row>
    <row r="11" spans="1:2" x14ac:dyDescent="0.25">
      <c r="A11" s="26"/>
    </row>
    <row r="12" spans="1:2" x14ac:dyDescent="0.25">
      <c r="A12" s="26"/>
    </row>
    <row r="13" spans="1:2" x14ac:dyDescent="0.25">
      <c r="A13" s="26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Estrutura e Força de Trabalho</vt:lpstr>
      <vt:lpstr>Movimentação Processual</vt:lpstr>
      <vt:lpstr>Instalações Prediais</vt:lpstr>
      <vt:lpstr>Dados do Estado</vt:lpstr>
      <vt:lpstr>'Estrutura e Força de Trabalho'!_Toc158019353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Gonçalves Veiga</dc:creator>
  <cp:lastModifiedBy>Dalila Saurine da Cunha Petraconi</cp:lastModifiedBy>
  <dcterms:created xsi:type="dcterms:W3CDTF">2025-01-08T17:41:53Z</dcterms:created>
  <dcterms:modified xsi:type="dcterms:W3CDTF">2025-12-16T18:21:56Z</dcterms:modified>
</cp:coreProperties>
</file>