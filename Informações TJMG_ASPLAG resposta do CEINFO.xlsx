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050849\Documents\DALILA\1. 2025\3. Relatório Diagnóstico 2025\BKP\"/>
    </mc:Choice>
  </mc:AlternateContent>
  <xr:revisionPtr revIDLastSave="0" documentId="8_{99D9581A-47FF-421D-BBAE-13C94330635C}" xr6:coauthVersionLast="47" xr6:coauthVersionMax="47" xr10:uidLastSave="{00000000-0000-0000-0000-000000000000}"/>
  <bookViews>
    <workbookView xWindow="-28920" yWindow="-120" windowWidth="29040" windowHeight="15720" xr2:uid="{82DFB80E-52E5-4607-AEAE-0DC5D0997A95}"/>
  </bookViews>
  <sheets>
    <sheet name="Estrutura e Força de Trabalho" sheetId="1" r:id="rId1"/>
    <sheet name="Movimentação Processual" sheetId="2" r:id="rId2"/>
    <sheet name="Instalações Prediais" sheetId="3" r:id="rId3"/>
    <sheet name="Dados do Estado" sheetId="6" r:id="rId4"/>
  </sheets>
  <definedNames>
    <definedName name="_Toc158019353" localSheetId="0">'Estrutura e Força de Trabalho'!$B$10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2" l="1"/>
  <c r="G29" i="2"/>
  <c r="H29" i="2" s="1"/>
  <c r="H28" i="2"/>
  <c r="H14" i="2"/>
  <c r="G22" i="2" l="1"/>
  <c r="H22" i="2" s="1"/>
  <c r="G15" i="2"/>
  <c r="H15" i="2" s="1"/>
  <c r="H25" i="2"/>
  <c r="C13" i="1"/>
  <c r="C13" i="3"/>
  <c r="H27" i="2"/>
  <c r="H26" i="2"/>
  <c r="H21" i="2"/>
  <c r="H20" i="2"/>
  <c r="H19" i="2"/>
  <c r="H13" i="2"/>
  <c r="H12" i="2"/>
  <c r="H11" i="2"/>
</calcChain>
</file>

<file path=xl/sharedStrings.xml><?xml version="1.0" encoding="utf-8"?>
<sst xmlns="http://schemas.openxmlformats.org/spreadsheetml/2006/main" count="137" uniqueCount="99">
  <si>
    <t>1ª Instância</t>
  </si>
  <si>
    <t>Váras instaladas</t>
  </si>
  <si>
    <t>Juizados especiais e turmas recursais</t>
  </si>
  <si>
    <t>CEJUSCs instalados</t>
  </si>
  <si>
    <t>CEJUSCs especializados</t>
  </si>
  <si>
    <t>Núcleos de justiça 4.0 - 1ª Instância</t>
  </si>
  <si>
    <t>Quantidade</t>
  </si>
  <si>
    <t>Câmaras cíveis</t>
  </si>
  <si>
    <t>Câmaras criminais</t>
  </si>
  <si>
    <t>Cartórios</t>
  </si>
  <si>
    <t>CEJUSC Segundo Grau</t>
  </si>
  <si>
    <t>Núcleos de justiça 4.0 - 2ª Instância</t>
  </si>
  <si>
    <t>2ª Instância</t>
  </si>
  <si>
    <t>Estrutura e Força de Trabalho do TJMG - 2024</t>
  </si>
  <si>
    <t>Servidores</t>
  </si>
  <si>
    <t>Juízes</t>
  </si>
  <si>
    <t>Juízes leigos</t>
  </si>
  <si>
    <t>Desembargadores</t>
  </si>
  <si>
    <t>Colaborades da Justiça</t>
  </si>
  <si>
    <t>Terceirizados</t>
  </si>
  <si>
    <t>Estagiários</t>
  </si>
  <si>
    <t>Voluntários</t>
  </si>
  <si>
    <t>Força de Trabalho e colaboradores na área de TIC - 2024</t>
  </si>
  <si>
    <t>PROCESSOS DISTRIBUÍDOS</t>
  </si>
  <si>
    <t>Instância</t>
  </si>
  <si>
    <t>Média</t>
  </si>
  <si>
    <t>Justiça Comum</t>
  </si>
  <si>
    <t>Juizado Especial</t>
  </si>
  <si>
    <t>Turma Recursal</t>
  </si>
  <si>
    <t>2º Grau</t>
  </si>
  <si>
    <t>Total</t>
  </si>
  <si>
    <t>JULGAMENTOS</t>
  </si>
  <si>
    <t>ACERVO DE FEITOS ATIVOS NO ÚLTIMO DIA DO ANO</t>
  </si>
  <si>
    <t>Instalações Prediais</t>
  </si>
  <si>
    <t>Tipo</t>
  </si>
  <si>
    <t>Prédios próprios</t>
  </si>
  <si>
    <t>Prédios alugados</t>
  </si>
  <si>
    <t>Em desapropriação</t>
  </si>
  <si>
    <t>Extensão territorial do Estado de Minas Gerais</t>
  </si>
  <si>
    <t>População estimada do Estado de Minas Gerais</t>
  </si>
  <si>
    <t>Número total de municípios do Estado de Minas Gerais</t>
  </si>
  <si>
    <t>Número de comarcas instaladas</t>
  </si>
  <si>
    <t>Número de unidades prisionais</t>
  </si>
  <si>
    <t>Informações do Estado de Minas Gerais</t>
  </si>
  <si>
    <t>Salas de depoimento especial instaladas</t>
  </si>
  <si>
    <t>Central de Processo Eletrônico instalada</t>
  </si>
  <si>
    <t>586.513,984 km²</t>
  </si>
  <si>
    <t>TRIBUNAL DE JUSTIÇA DO ESTADO DE MINAS GERAIS</t>
  </si>
  <si>
    <t>SECRETARIA DE GOVERNANÇA E GESTÃO ESTRATÉGICA</t>
  </si>
  <si>
    <t>CENTRO DE INFORMAÇÃO INSTITUCIONAL</t>
  </si>
  <si>
    <t>SEGOVE / CEINFO</t>
  </si>
  <si>
    <t>(*)Atualmente, existem 8 fóruns digitais, dos quais 5 estão instalados e operando, 1 está em fase de conclusão, aguardando a definição da data de inauguração pelo Exmo. Sr. Presidente, e 2 estão funcionando em prédios cedidos por meio de convênios entre o tribunal e as prefeituras dos respectivos municípios.</t>
  </si>
  <si>
    <t>2. Papagaios (Comarca de Pitangui);</t>
  </si>
  <si>
    <t>3. Lagoa Grande (Comarca de Presidente Olegário);</t>
  </si>
  <si>
    <t xml:space="preserve">4. Venda Nova (BH) </t>
  </si>
  <si>
    <t>5. Coluna (Comarca de São João Evangelista).</t>
  </si>
  <si>
    <t>Instalados e em Funcionamento:</t>
  </si>
  <si>
    <t>Em Andamento:</t>
  </si>
  <si>
    <t>7. Araporã (Comarca de Tupaciguara);</t>
  </si>
  <si>
    <t>8. Santana do Riacho (Comarca de Jaboticatubas)</t>
  </si>
  <si>
    <t>6.Fronteira (Comarca de Frutal)</t>
  </si>
  <si>
    <t>Juiz Auxiliar de Segundo Grau</t>
  </si>
  <si>
    <t>1. Assessoria de Atendimento ao Cliente - ATEND</t>
  </si>
  <si>
    <t>2. Assessoria de Padronização e Tecnologias da Informação - ASTEC</t>
  </si>
  <si>
    <t>3. Central de Atendimento para Sistemas Administrativos - CEAD</t>
  </si>
  <si>
    <t>4. Central de Atendimento para Sistemas Judiciais - CAJUD</t>
  </si>
  <si>
    <t>5. Coordenação de Administração de Aplicações - CODAP</t>
  </si>
  <si>
    <t>6. Coordenação de Administração de Dados - CODAD</t>
  </si>
  <si>
    <t>7. Coordenação de Análise e Integração de Sistemas Administrativos Informatizados - CORASA</t>
  </si>
  <si>
    <t>8. Coordenação de Análise e Integração de Sistemas Judiciais Informatizados - COJIN</t>
  </si>
  <si>
    <t>9. Coordenação de Desenvolvimento e Manutenção de Sistemas Administrativos - COSAD</t>
  </si>
  <si>
    <t>10. Coordenação de Desenvolvimento e Manutenção de Sistemas Judiciais da 1ª Instância - COJUD 1ª</t>
  </si>
  <si>
    <t>11. Coordenação de Desenvolvimento e Manutenção de Sistemas Judiciais da 2ª Instância - COJUD 2ª</t>
  </si>
  <si>
    <t>12. Coordenação de Instalação e Manutenção de Equipamentos - COMEQ</t>
  </si>
  <si>
    <t>13. Coordenação de Rede - CORED</t>
  </si>
  <si>
    <t>14. Coordenação de Suporte à Operação - COOPE</t>
  </si>
  <si>
    <t>15. Diretoria Executiva de Informática - DIRFOR</t>
  </si>
  <si>
    <t>16. Gerência de Infra-Estrutura Tecnológica - GETEC</t>
  </si>
  <si>
    <t>17. Gerência de Sistemas Administrativos Informatizados - GESAD</t>
  </si>
  <si>
    <t>18. Gerência de Sistemas Judiciais Informatizados - GEJUD</t>
  </si>
  <si>
    <t>19. Gerência de Suporte à Operação de Equipamentos - GEOPE</t>
  </si>
  <si>
    <t>Funcionando em prédios Cedidos pelas prefeituras dos respectivos municípios:</t>
  </si>
  <si>
    <r>
      <t>Fóruns digitais</t>
    </r>
    <r>
      <rPr>
        <b/>
        <sz val="12"/>
        <color rgb="FF434343"/>
        <rFont val="Calibri"/>
        <family val="2"/>
        <scheme val="minor"/>
      </rPr>
      <t>(*)</t>
    </r>
  </si>
  <si>
    <t>Fontes: Guia do Judiciário - INFOGUIA - 13/01/2025</t>
  </si>
  <si>
    <t xml:space="preserve">             Painel Força de Trabalho - 13/01/2025</t>
  </si>
  <si>
    <t>Fonte: IBGE</t>
  </si>
  <si>
    <t xml:space="preserve">           Guia do Judiciário - INFOGUIA - 13/01/2025</t>
  </si>
  <si>
    <t>Fonte: SIJUD - 13/01/2024</t>
  </si>
  <si>
    <t xml:space="preserve">           CEINJUR/SEPAD</t>
  </si>
  <si>
    <t>Fonte: COGEP/DENGEP</t>
  </si>
  <si>
    <t xml:space="preserve">           CNJ - https://paineisanalytics.cnj.jus.br/single/?appid=e28debcd-15e7-4f17-ba93-9aa3ee4d3c5d&amp;sheet=da3c5032-89ad-48d2-8d15-54eb35561278&amp;lang=pt-BR&amp;opt=currsel</t>
  </si>
  <si>
    <t>Prédios cedidos ao TJMG</t>
  </si>
  <si>
    <t>Área de TIC(***)</t>
  </si>
  <si>
    <r>
      <t>Conciliadores e mediadores</t>
    </r>
    <r>
      <rPr>
        <b/>
        <sz val="12"/>
        <color rgb="FF434343"/>
        <rFont val="Calibri"/>
        <family val="2"/>
        <scheme val="minor"/>
      </rPr>
      <t>(**)</t>
    </r>
  </si>
  <si>
    <t>(***) Para os quantitativos apresentados, foram considerados os setores subordinados à DIRFOR, sendo eles:</t>
  </si>
  <si>
    <t>(**) Valor referente ao ano-base 2023</t>
  </si>
  <si>
    <t xml:space="preserve">            GEJESP</t>
  </si>
  <si>
    <t xml:space="preserve">            COINJ</t>
  </si>
  <si>
    <t>1. Padre Paraíso (Comarca de Araçuaí);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</si>
</sst>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434343"/>
      <name val="Calibri"/>
      <family val="2"/>
    </font>
    <font>
      <b/>
      <sz val="10"/>
      <color rgb="FF434343"/>
      <name val="Calibri"/>
      <family val="2"/>
    </font>
    <font>
      <sz val="10"/>
      <color theme="4" tint="-0.249977111117893"/>
      <name val="Calibri"/>
      <family val="2"/>
    </font>
    <font>
      <sz val="12"/>
      <color rgb="FF434343"/>
      <name val="Calibri"/>
      <family val="2"/>
      <scheme val="minor"/>
    </font>
    <font>
      <b/>
      <sz val="12"/>
      <color rgb="FF434343"/>
      <name val="Calibri"/>
      <family val="2"/>
      <scheme val="minor"/>
    </font>
    <font>
      <b/>
      <sz val="13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1" xfId="0" applyFont="1" applyFill="1" applyBorder="1" applyAlignment="1"/>
    <xf numFmtId="3" fontId="0" fillId="0" borderId="0" xfId="0" applyNumberFormat="1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3" fontId="4" fillId="3" borderId="5" xfId="0" applyNumberFormat="1" applyFont="1" applyFill="1" applyBorder="1" applyAlignment="1">
      <alignment horizontal="center" vertical="center"/>
    </xf>
    <xf numFmtId="3" fontId="4" fillId="3" borderId="6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3" fontId="5" fillId="4" borderId="6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3" fontId="0" fillId="0" borderId="1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1" fillId="0" borderId="10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2" fillId="5" borderId="11" xfId="0" applyFont="1" applyFill="1" applyBorder="1" applyAlignment="1">
      <alignment horizontal="center"/>
    </xf>
    <xf numFmtId="0" fontId="13" fillId="0" borderId="0" xfId="0" applyFont="1"/>
    <xf numFmtId="0" fontId="14" fillId="0" borderId="0" xfId="1"/>
    <xf numFmtId="0" fontId="1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/>
    <xf numFmtId="0" fontId="12" fillId="6" borderId="9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24BE-D75C-496B-96E9-400F74B15D0B}">
  <dimension ref="B1:C76"/>
  <sheetViews>
    <sheetView showGridLines="0" tabSelected="1" topLeftCell="A19" workbookViewId="0">
      <selection activeCell="I18" sqref="I18"/>
    </sheetView>
  </sheetViews>
  <sheetFormatPr defaultRowHeight="15" x14ac:dyDescent="0.25"/>
  <cols>
    <col min="1" max="1" width="1.85546875" customWidth="1"/>
    <col min="2" max="2" width="72.28515625" customWidth="1"/>
    <col min="3" max="3" width="33.28515625" customWidth="1"/>
  </cols>
  <sheetData>
    <row r="1" spans="2:3" ht="15.75" x14ac:dyDescent="0.25">
      <c r="B1" s="19" t="s">
        <v>47</v>
      </c>
    </row>
    <row r="2" spans="2:3" ht="15.75" x14ac:dyDescent="0.25">
      <c r="B2" s="19" t="s">
        <v>48</v>
      </c>
    </row>
    <row r="3" spans="2:3" ht="15.75" x14ac:dyDescent="0.25">
      <c r="B3" s="19" t="s">
        <v>49</v>
      </c>
    </row>
    <row r="4" spans="2:3" ht="15.75" x14ac:dyDescent="0.25">
      <c r="B4" s="19" t="s">
        <v>50</v>
      </c>
    </row>
    <row r="6" spans="2:3" x14ac:dyDescent="0.25">
      <c r="B6" s="32" t="s">
        <v>83</v>
      </c>
    </row>
    <row r="7" spans="2:3" x14ac:dyDescent="0.25">
      <c r="B7" s="32" t="s">
        <v>84</v>
      </c>
    </row>
    <row r="8" spans="2:3" x14ac:dyDescent="0.25">
      <c r="B8" s="32" t="s">
        <v>96</v>
      </c>
    </row>
    <row r="9" spans="2:3" x14ac:dyDescent="0.25">
      <c r="B9" s="32" t="s">
        <v>97</v>
      </c>
    </row>
    <row r="10" spans="2:3" ht="18" thickBot="1" x14ac:dyDescent="0.35">
      <c r="B10" s="37" t="s">
        <v>13</v>
      </c>
      <c r="C10" s="37"/>
    </row>
    <row r="11" spans="2:3" ht="18" thickBot="1" x14ac:dyDescent="0.35">
      <c r="B11" s="31" t="s">
        <v>0</v>
      </c>
      <c r="C11" s="31" t="s">
        <v>6</v>
      </c>
    </row>
    <row r="12" spans="2:3" ht="15.75" x14ac:dyDescent="0.25">
      <c r="B12" s="28" t="s">
        <v>1</v>
      </c>
      <c r="C12" s="22">
        <v>793</v>
      </c>
    </row>
    <row r="13" spans="2:3" ht="15.75" x14ac:dyDescent="0.25">
      <c r="B13" s="28" t="s">
        <v>2</v>
      </c>
      <c r="C13" s="23">
        <f>96+49</f>
        <v>145</v>
      </c>
    </row>
    <row r="14" spans="2:3" ht="15.75" x14ac:dyDescent="0.25">
      <c r="B14" s="28" t="s">
        <v>3</v>
      </c>
      <c r="C14" s="23">
        <v>298</v>
      </c>
    </row>
    <row r="15" spans="2:3" ht="15.75" x14ac:dyDescent="0.25">
      <c r="B15" s="28" t="s">
        <v>4</v>
      </c>
      <c r="C15" s="23">
        <v>8</v>
      </c>
    </row>
    <row r="16" spans="2:3" ht="15.75" x14ac:dyDescent="0.25">
      <c r="B16" s="28" t="s">
        <v>82</v>
      </c>
      <c r="C16" s="23">
        <v>8</v>
      </c>
    </row>
    <row r="17" spans="2:3" ht="15.75" x14ac:dyDescent="0.25">
      <c r="B17" s="28" t="s">
        <v>45</v>
      </c>
      <c r="C17" s="23">
        <v>1</v>
      </c>
    </row>
    <row r="18" spans="2:3" ht="15.75" x14ac:dyDescent="0.25">
      <c r="B18" s="28" t="s">
        <v>5</v>
      </c>
      <c r="C18" s="23">
        <v>5</v>
      </c>
    </row>
    <row r="19" spans="2:3" ht="15.75" x14ac:dyDescent="0.25">
      <c r="B19" s="28" t="s">
        <v>44</v>
      </c>
      <c r="C19" s="23">
        <v>297</v>
      </c>
    </row>
    <row r="20" spans="2:3" ht="15.75" x14ac:dyDescent="0.25">
      <c r="B20" s="29" t="s">
        <v>14</v>
      </c>
      <c r="C20" s="23">
        <v>10709</v>
      </c>
    </row>
    <row r="21" spans="2:3" ht="15.75" x14ac:dyDescent="0.25">
      <c r="B21" s="29" t="s">
        <v>15</v>
      </c>
      <c r="C21" s="23">
        <v>916</v>
      </c>
    </row>
    <row r="22" spans="2:3" ht="16.5" thickBot="1" x14ac:dyDescent="0.3">
      <c r="B22" s="29" t="s">
        <v>16</v>
      </c>
      <c r="C22" s="23">
        <v>167</v>
      </c>
    </row>
    <row r="23" spans="2:3" ht="18" thickBot="1" x14ac:dyDescent="0.35">
      <c r="B23" s="31" t="s">
        <v>12</v>
      </c>
      <c r="C23" s="31" t="s">
        <v>6</v>
      </c>
    </row>
    <row r="24" spans="2:3" ht="15.75" x14ac:dyDescent="0.25">
      <c r="B24" s="28" t="s">
        <v>7</v>
      </c>
      <c r="C24" s="23">
        <v>21</v>
      </c>
    </row>
    <row r="25" spans="2:3" ht="15.75" x14ac:dyDescent="0.25">
      <c r="B25" s="28" t="s">
        <v>8</v>
      </c>
      <c r="C25" s="23">
        <v>9</v>
      </c>
    </row>
    <row r="26" spans="2:3" ht="15.75" x14ac:dyDescent="0.25">
      <c r="B26" s="28" t="s">
        <v>9</v>
      </c>
      <c r="C26" s="23">
        <v>39</v>
      </c>
    </row>
    <row r="27" spans="2:3" ht="15.75" x14ac:dyDescent="0.25">
      <c r="B27" s="28" t="s">
        <v>10</v>
      </c>
      <c r="C27" s="23">
        <v>1</v>
      </c>
    </row>
    <row r="28" spans="2:3" ht="15.75" x14ac:dyDescent="0.25">
      <c r="B28" s="28" t="s">
        <v>11</v>
      </c>
      <c r="C28" s="23">
        <v>13</v>
      </c>
    </row>
    <row r="29" spans="2:3" ht="15.75" x14ac:dyDescent="0.25">
      <c r="B29" s="28" t="s">
        <v>14</v>
      </c>
      <c r="C29" s="23">
        <v>3045</v>
      </c>
    </row>
    <row r="30" spans="2:3" ht="15.75" x14ac:dyDescent="0.25">
      <c r="B30" s="28" t="s">
        <v>61</v>
      </c>
      <c r="C30" s="23">
        <v>10</v>
      </c>
    </row>
    <row r="31" spans="2:3" ht="16.5" thickBot="1" x14ac:dyDescent="0.3">
      <c r="B31" s="28" t="s">
        <v>17</v>
      </c>
      <c r="C31" s="23">
        <v>149</v>
      </c>
    </row>
    <row r="32" spans="2:3" ht="18" thickBot="1" x14ac:dyDescent="0.35">
      <c r="B32" s="31" t="s">
        <v>18</v>
      </c>
      <c r="C32" s="31" t="s">
        <v>6</v>
      </c>
    </row>
    <row r="33" spans="2:3" ht="15.75" x14ac:dyDescent="0.25">
      <c r="B33" s="28" t="s">
        <v>19</v>
      </c>
      <c r="C33" s="23">
        <v>11641</v>
      </c>
    </row>
    <row r="34" spans="2:3" ht="15.75" x14ac:dyDescent="0.25">
      <c r="B34" s="28" t="s">
        <v>20</v>
      </c>
      <c r="C34" s="23">
        <v>5939</v>
      </c>
    </row>
    <row r="35" spans="2:3" ht="15.75" x14ac:dyDescent="0.25">
      <c r="B35" s="28" t="s">
        <v>21</v>
      </c>
      <c r="C35" s="21">
        <v>0</v>
      </c>
    </row>
    <row r="36" spans="2:3" ht="15.75" x14ac:dyDescent="0.25">
      <c r="B36" s="28" t="s">
        <v>93</v>
      </c>
      <c r="C36" s="21">
        <v>667</v>
      </c>
    </row>
    <row r="37" spans="2:3" s="36" customFormat="1" ht="15.75" x14ac:dyDescent="0.25">
      <c r="B37" s="34"/>
      <c r="C37" s="35"/>
    </row>
    <row r="38" spans="2:3" ht="18" thickBot="1" x14ac:dyDescent="0.35">
      <c r="B38" s="37" t="s">
        <v>22</v>
      </c>
      <c r="C38" s="37"/>
    </row>
    <row r="39" spans="2:3" ht="18" thickBot="1" x14ac:dyDescent="0.35">
      <c r="B39" s="31" t="s">
        <v>92</v>
      </c>
      <c r="C39" s="31" t="s">
        <v>6</v>
      </c>
    </row>
    <row r="40" spans="2:3" ht="15.75" x14ac:dyDescent="0.25">
      <c r="B40" s="30" t="s">
        <v>14</v>
      </c>
      <c r="C40" s="21">
        <v>219</v>
      </c>
    </row>
    <row r="41" spans="2:3" ht="15.75" x14ac:dyDescent="0.25">
      <c r="B41" s="28" t="s">
        <v>19</v>
      </c>
      <c r="C41" s="21">
        <v>142</v>
      </c>
    </row>
    <row r="42" spans="2:3" ht="15.75" x14ac:dyDescent="0.25">
      <c r="B42" s="28" t="s">
        <v>20</v>
      </c>
      <c r="C42" s="21">
        <v>0</v>
      </c>
    </row>
    <row r="43" spans="2:3" ht="63" customHeight="1" x14ac:dyDescent="0.25">
      <c r="B43" s="24" t="s">
        <v>51</v>
      </c>
    </row>
    <row r="44" spans="2:3" x14ac:dyDescent="0.25">
      <c r="B44" s="26" t="s">
        <v>56</v>
      </c>
    </row>
    <row r="45" spans="2:3" x14ac:dyDescent="0.25">
      <c r="B45" s="27" t="s">
        <v>98</v>
      </c>
    </row>
    <row r="46" spans="2:3" x14ac:dyDescent="0.25">
      <c r="B46" s="27" t="s">
        <v>52</v>
      </c>
    </row>
    <row r="47" spans="2:3" x14ac:dyDescent="0.25">
      <c r="B47" s="27" t="s">
        <v>53</v>
      </c>
    </row>
    <row r="48" spans="2:3" x14ac:dyDescent="0.25">
      <c r="B48" s="27" t="s">
        <v>54</v>
      </c>
    </row>
    <row r="49" spans="2:2" x14ac:dyDescent="0.25">
      <c r="B49" s="27" t="s">
        <v>55</v>
      </c>
    </row>
    <row r="50" spans="2:2" x14ac:dyDescent="0.25">
      <c r="B50" s="26" t="s">
        <v>57</v>
      </c>
    </row>
    <row r="51" spans="2:2" x14ac:dyDescent="0.25">
      <c r="B51" s="27" t="s">
        <v>60</v>
      </c>
    </row>
    <row r="52" spans="2:2" x14ac:dyDescent="0.25">
      <c r="B52" s="26" t="s">
        <v>81</v>
      </c>
    </row>
    <row r="53" spans="2:2" x14ac:dyDescent="0.25">
      <c r="B53" s="27" t="s">
        <v>58</v>
      </c>
    </row>
    <row r="54" spans="2:2" x14ac:dyDescent="0.25">
      <c r="B54" s="27" t="s">
        <v>59</v>
      </c>
    </row>
    <row r="55" spans="2:2" ht="23.25" customHeight="1" x14ac:dyDescent="0.25">
      <c r="B55" s="24" t="s">
        <v>95</v>
      </c>
    </row>
    <row r="56" spans="2:2" ht="3.75" customHeight="1" x14ac:dyDescent="0.25">
      <c r="B56" s="25"/>
    </row>
    <row r="57" spans="2:2" ht="25.5" x14ac:dyDescent="0.25">
      <c r="B57" s="24" t="s">
        <v>94</v>
      </c>
    </row>
    <row r="58" spans="2:2" x14ac:dyDescent="0.25">
      <c r="B58" s="27" t="s">
        <v>62</v>
      </c>
    </row>
    <row r="59" spans="2:2" x14ac:dyDescent="0.25">
      <c r="B59" s="27" t="s">
        <v>63</v>
      </c>
    </row>
    <row r="60" spans="2:2" x14ac:dyDescent="0.25">
      <c r="B60" s="27" t="s">
        <v>64</v>
      </c>
    </row>
    <row r="61" spans="2:2" x14ac:dyDescent="0.25">
      <c r="B61" s="27" t="s">
        <v>65</v>
      </c>
    </row>
    <row r="62" spans="2:2" x14ac:dyDescent="0.25">
      <c r="B62" s="27" t="s">
        <v>66</v>
      </c>
    </row>
    <row r="63" spans="2:2" x14ac:dyDescent="0.25">
      <c r="B63" s="27" t="s">
        <v>67</v>
      </c>
    </row>
    <row r="64" spans="2:2" ht="25.5" x14ac:dyDescent="0.25">
      <c r="B64" s="27" t="s">
        <v>68</v>
      </c>
    </row>
    <row r="65" spans="2:2" ht="15.75" customHeight="1" x14ac:dyDescent="0.25">
      <c r="B65" s="27" t="s">
        <v>69</v>
      </c>
    </row>
    <row r="66" spans="2:2" ht="17.25" customHeight="1" x14ac:dyDescent="0.25">
      <c r="B66" s="27" t="s">
        <v>70</v>
      </c>
    </row>
    <row r="67" spans="2:2" ht="25.5" x14ac:dyDescent="0.25">
      <c r="B67" s="27" t="s">
        <v>71</v>
      </c>
    </row>
    <row r="68" spans="2:2" ht="25.5" x14ac:dyDescent="0.25">
      <c r="B68" s="27" t="s">
        <v>72</v>
      </c>
    </row>
    <row r="69" spans="2:2" x14ac:dyDescent="0.25">
      <c r="B69" s="27" t="s">
        <v>73</v>
      </c>
    </row>
    <row r="70" spans="2:2" x14ac:dyDescent="0.25">
      <c r="B70" s="27" t="s">
        <v>74</v>
      </c>
    </row>
    <row r="71" spans="2:2" x14ac:dyDescent="0.25">
      <c r="B71" s="27" t="s">
        <v>75</v>
      </c>
    </row>
    <row r="72" spans="2:2" x14ac:dyDescent="0.25">
      <c r="B72" s="27" t="s">
        <v>76</v>
      </c>
    </row>
    <row r="73" spans="2:2" x14ac:dyDescent="0.25">
      <c r="B73" s="27" t="s">
        <v>77</v>
      </c>
    </row>
    <row r="74" spans="2:2" x14ac:dyDescent="0.25">
      <c r="B74" s="27" t="s">
        <v>78</v>
      </c>
    </row>
    <row r="75" spans="2:2" x14ac:dyDescent="0.25">
      <c r="B75" s="27" t="s">
        <v>79</v>
      </c>
    </row>
    <row r="76" spans="2:2" x14ac:dyDescent="0.25">
      <c r="B76" s="27" t="s">
        <v>80</v>
      </c>
    </row>
  </sheetData>
  <mergeCells count="2">
    <mergeCell ref="B10:C10"/>
    <mergeCell ref="B38:C38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3E31-E47A-45AB-9321-493794D60E5F}">
  <dimension ref="B1:J29"/>
  <sheetViews>
    <sheetView showGridLines="0" zoomScaleNormal="100" workbookViewId="0">
      <selection activeCell="M11" sqref="M11"/>
    </sheetView>
  </sheetViews>
  <sheetFormatPr defaultRowHeight="15" x14ac:dyDescent="0.25"/>
  <cols>
    <col min="1" max="1" width="1.5703125" customWidth="1"/>
    <col min="2" max="2" width="17.42578125" style="3" bestFit="1" customWidth="1"/>
    <col min="3" max="7" width="19.140625" customWidth="1"/>
    <col min="8" max="8" width="12.42578125" customWidth="1"/>
  </cols>
  <sheetData>
    <row r="1" spans="2:10" ht="15.75" x14ac:dyDescent="0.25">
      <c r="B1" s="19" t="s">
        <v>47</v>
      </c>
    </row>
    <row r="2" spans="2:10" ht="15.75" x14ac:dyDescent="0.25">
      <c r="B2" s="19" t="s">
        <v>48</v>
      </c>
    </row>
    <row r="3" spans="2:10" ht="15.75" x14ac:dyDescent="0.25">
      <c r="B3" s="19" t="s">
        <v>49</v>
      </c>
    </row>
    <row r="4" spans="2:10" ht="15.75" x14ac:dyDescent="0.25">
      <c r="B4" s="19" t="s">
        <v>50</v>
      </c>
    </row>
    <row r="5" spans="2:10" x14ac:dyDescent="0.25">
      <c r="B5"/>
    </row>
    <row r="6" spans="2:10" x14ac:dyDescent="0.25">
      <c r="B6" s="32" t="s">
        <v>87</v>
      </c>
    </row>
    <row r="7" spans="2:10" x14ac:dyDescent="0.25">
      <c r="B7" s="32" t="s">
        <v>88</v>
      </c>
    </row>
    <row r="8" spans="2:10" ht="16.5" thickBot="1" x14ac:dyDescent="0.3">
      <c r="B8" s="41" t="s">
        <v>13</v>
      </c>
      <c r="C8" s="42"/>
      <c r="D8" s="42"/>
      <c r="E8" s="42"/>
      <c r="F8" s="42"/>
      <c r="G8" s="42"/>
      <c r="H8" s="43"/>
    </row>
    <row r="9" spans="2:10" ht="16.5" thickBot="1" x14ac:dyDescent="0.3">
      <c r="B9" s="38" t="s">
        <v>23</v>
      </c>
      <c r="C9" s="39"/>
      <c r="D9" s="39"/>
      <c r="E9" s="39"/>
      <c r="F9" s="39"/>
      <c r="G9" s="39"/>
      <c r="H9" s="40"/>
    </row>
    <row r="10" spans="2:10" ht="16.5" thickBot="1" x14ac:dyDescent="0.3">
      <c r="B10" s="4" t="s">
        <v>24</v>
      </c>
      <c r="C10" s="5">
        <v>2020</v>
      </c>
      <c r="D10" s="5">
        <v>2021</v>
      </c>
      <c r="E10" s="5">
        <v>2022</v>
      </c>
      <c r="F10" s="5">
        <v>2023</v>
      </c>
      <c r="G10" s="14">
        <v>2024</v>
      </c>
      <c r="H10" s="5" t="s">
        <v>25</v>
      </c>
    </row>
    <row r="11" spans="2:10" ht="15.75" x14ac:dyDescent="0.25">
      <c r="B11" s="6" t="s">
        <v>26</v>
      </c>
      <c r="C11" s="7">
        <v>1191628</v>
      </c>
      <c r="D11" s="8">
        <v>1365924</v>
      </c>
      <c r="E11" s="8">
        <v>1565819</v>
      </c>
      <c r="F11" s="8">
        <v>1710153</v>
      </c>
      <c r="G11" s="8">
        <v>1675686</v>
      </c>
      <c r="H11" s="8">
        <f>AVERAGE(C11:G11)</f>
        <v>1501842</v>
      </c>
    </row>
    <row r="12" spans="2:10" ht="15.75" x14ac:dyDescent="0.25">
      <c r="B12" s="9" t="s">
        <v>27</v>
      </c>
      <c r="C12" s="10">
        <v>534375</v>
      </c>
      <c r="D12" s="10">
        <v>536797</v>
      </c>
      <c r="E12" s="10">
        <v>558504</v>
      </c>
      <c r="F12" s="10">
        <v>622683</v>
      </c>
      <c r="G12" s="10">
        <v>661356</v>
      </c>
      <c r="H12" s="10">
        <f t="shared" ref="H12:H15" si="0">AVERAGE(C12:G12)</f>
        <v>582743</v>
      </c>
      <c r="I12" s="2"/>
    </row>
    <row r="13" spans="2:10" ht="15.75" x14ac:dyDescent="0.25">
      <c r="B13" s="6" t="s">
        <v>28</v>
      </c>
      <c r="C13" s="8">
        <v>56088</v>
      </c>
      <c r="D13" s="8">
        <v>84268</v>
      </c>
      <c r="E13" s="8">
        <v>84215</v>
      </c>
      <c r="F13" s="8">
        <v>93299</v>
      </c>
      <c r="G13" s="8">
        <v>103728</v>
      </c>
      <c r="H13" s="8">
        <f t="shared" si="0"/>
        <v>84319.6</v>
      </c>
    </row>
    <row r="14" spans="2:10" ht="15.75" x14ac:dyDescent="0.25">
      <c r="B14" s="9" t="s">
        <v>29</v>
      </c>
      <c r="C14" s="10">
        <v>199457</v>
      </c>
      <c r="D14" s="10">
        <v>222614</v>
      </c>
      <c r="E14" s="10">
        <v>227760</v>
      </c>
      <c r="F14" s="10">
        <v>271256</v>
      </c>
      <c r="G14" s="10">
        <v>334528</v>
      </c>
      <c r="H14" s="10">
        <f>AVERAGE(C14:G14)</f>
        <v>251123</v>
      </c>
      <c r="J14" s="2"/>
    </row>
    <row r="15" spans="2:10" ht="16.5" thickBot="1" x14ac:dyDescent="0.3">
      <c r="B15" s="11" t="s">
        <v>30</v>
      </c>
      <c r="C15" s="12">
        <v>1981548</v>
      </c>
      <c r="D15" s="12">
        <v>2209603</v>
      </c>
      <c r="E15" s="12">
        <v>2436298</v>
      </c>
      <c r="F15" s="12">
        <v>2697391</v>
      </c>
      <c r="G15" s="12">
        <f>SUM(G11:G14)</f>
        <v>2775298</v>
      </c>
      <c r="H15" s="12">
        <f t="shared" si="0"/>
        <v>2420027.6</v>
      </c>
    </row>
    <row r="16" spans="2:10" ht="16.5" thickBot="1" x14ac:dyDescent="0.3">
      <c r="B16" s="38" t="s">
        <v>31</v>
      </c>
      <c r="C16" s="39"/>
      <c r="D16" s="39"/>
      <c r="E16" s="39"/>
      <c r="F16" s="39"/>
      <c r="G16" s="39"/>
      <c r="H16" s="40"/>
    </row>
    <row r="17" spans="2:8" ht="16.5" thickBot="1" x14ac:dyDescent="0.3">
      <c r="B17" s="13" t="s">
        <v>24</v>
      </c>
      <c r="C17" s="5">
        <v>2020</v>
      </c>
      <c r="D17" s="14">
        <v>2021</v>
      </c>
      <c r="E17" s="14">
        <v>2022</v>
      </c>
      <c r="F17" s="14">
        <v>2023</v>
      </c>
      <c r="G17" s="14">
        <v>2024</v>
      </c>
      <c r="H17" s="14" t="s">
        <v>25</v>
      </c>
    </row>
    <row r="18" spans="2:8" ht="15.75" x14ac:dyDescent="0.25">
      <c r="B18" s="6" t="s">
        <v>26</v>
      </c>
      <c r="C18" s="7">
        <v>878705</v>
      </c>
      <c r="D18" s="8">
        <v>1015223</v>
      </c>
      <c r="E18" s="8">
        <v>1185589</v>
      </c>
      <c r="F18" s="8">
        <v>1320950</v>
      </c>
      <c r="G18" s="8">
        <v>1412397</v>
      </c>
      <c r="H18" s="8">
        <f>AVERAGE(C18:G18)</f>
        <v>1162572.8</v>
      </c>
    </row>
    <row r="19" spans="2:8" ht="15.75" x14ac:dyDescent="0.25">
      <c r="B19" s="9" t="s">
        <v>27</v>
      </c>
      <c r="C19" s="10">
        <v>460286</v>
      </c>
      <c r="D19" s="10">
        <v>636208</v>
      </c>
      <c r="E19" s="10">
        <v>810834</v>
      </c>
      <c r="F19" s="10">
        <v>932469</v>
      </c>
      <c r="G19" s="10">
        <v>920189</v>
      </c>
      <c r="H19" s="10">
        <f>AVERAGE(C19:G19)</f>
        <v>751997.2</v>
      </c>
    </row>
    <row r="20" spans="2:8" ht="15.75" x14ac:dyDescent="0.25">
      <c r="B20" s="6" t="s">
        <v>28</v>
      </c>
      <c r="C20" s="8">
        <v>878705</v>
      </c>
      <c r="D20" s="8">
        <v>67797</v>
      </c>
      <c r="E20" s="8">
        <v>77926</v>
      </c>
      <c r="F20" s="8">
        <v>105764</v>
      </c>
      <c r="G20" s="8">
        <v>117904</v>
      </c>
      <c r="H20" s="8">
        <f>AVERAGE(C20:G20)</f>
        <v>249619.20000000001</v>
      </c>
    </row>
    <row r="21" spans="2:8" ht="15.75" x14ac:dyDescent="0.25">
      <c r="B21" s="9" t="s">
        <v>29</v>
      </c>
      <c r="C21" s="10">
        <v>52746</v>
      </c>
      <c r="D21" s="10">
        <v>225454</v>
      </c>
      <c r="E21" s="10">
        <v>236418</v>
      </c>
      <c r="F21" s="10">
        <v>275286</v>
      </c>
      <c r="G21" s="10">
        <v>337993</v>
      </c>
      <c r="H21" s="10">
        <f>AVERAGE(C21:G21)</f>
        <v>225579.4</v>
      </c>
    </row>
    <row r="22" spans="2:8" ht="16.5" thickBot="1" x14ac:dyDescent="0.3">
      <c r="B22" s="11" t="s">
        <v>30</v>
      </c>
      <c r="C22" s="12">
        <v>2270442</v>
      </c>
      <c r="D22" s="12">
        <v>1944682</v>
      </c>
      <c r="E22" s="12">
        <v>2310767</v>
      </c>
      <c r="F22" s="12">
        <v>2634469</v>
      </c>
      <c r="G22" s="12">
        <f>SUM(G18:G21)</f>
        <v>2788483</v>
      </c>
      <c r="H22" s="12">
        <f>AVERAGE(C22:G22)</f>
        <v>2389768.6</v>
      </c>
    </row>
    <row r="23" spans="2:8" ht="16.5" thickBot="1" x14ac:dyDescent="0.3">
      <c r="B23" s="38" t="s">
        <v>32</v>
      </c>
      <c r="C23" s="39"/>
      <c r="D23" s="39"/>
      <c r="E23" s="39"/>
      <c r="F23" s="39"/>
      <c r="G23" s="39"/>
      <c r="H23" s="40"/>
    </row>
    <row r="24" spans="2:8" ht="16.5" thickBot="1" x14ac:dyDescent="0.3">
      <c r="B24" s="13" t="s">
        <v>24</v>
      </c>
      <c r="C24" s="5">
        <v>2020</v>
      </c>
      <c r="D24" s="14">
        <v>2021</v>
      </c>
      <c r="E24" s="14">
        <v>2022</v>
      </c>
      <c r="F24" s="14">
        <v>2023</v>
      </c>
      <c r="G24" s="14">
        <v>2024</v>
      </c>
      <c r="H24" s="14" t="s">
        <v>25</v>
      </c>
    </row>
    <row r="25" spans="2:8" ht="15.75" x14ac:dyDescent="0.25">
      <c r="B25" s="6" t="s">
        <v>26</v>
      </c>
      <c r="C25" s="7">
        <v>4255163</v>
      </c>
      <c r="D25" s="8">
        <v>4152223</v>
      </c>
      <c r="E25" s="8">
        <v>4233968</v>
      </c>
      <c r="F25" s="8">
        <v>4140228</v>
      </c>
      <c r="G25" s="8">
        <v>4042435</v>
      </c>
      <c r="H25" s="8">
        <f>AVERAGE(C25:G25)</f>
        <v>4164803.4</v>
      </c>
    </row>
    <row r="26" spans="2:8" ht="15.75" x14ac:dyDescent="0.25">
      <c r="B26" s="9" t="s">
        <v>27</v>
      </c>
      <c r="C26" s="10">
        <v>1125405</v>
      </c>
      <c r="D26" s="10">
        <v>1125081</v>
      </c>
      <c r="E26" s="10">
        <v>1053185</v>
      </c>
      <c r="F26" s="10">
        <v>963386</v>
      </c>
      <c r="G26" s="10">
        <v>922153</v>
      </c>
      <c r="H26" s="10">
        <f>AVERAGE(C26:G26)</f>
        <v>1037842</v>
      </c>
    </row>
    <row r="27" spans="2:8" ht="15.75" x14ac:dyDescent="0.25">
      <c r="B27" s="6" t="s">
        <v>28</v>
      </c>
      <c r="C27" s="8">
        <v>41272</v>
      </c>
      <c r="D27" s="8">
        <v>67940</v>
      </c>
      <c r="E27" s="8">
        <v>69541</v>
      </c>
      <c r="F27" s="8">
        <v>76573</v>
      </c>
      <c r="G27" s="8">
        <v>87801</v>
      </c>
      <c r="H27" s="8">
        <f>AVERAGE(C27:G27)</f>
        <v>68625.399999999994</v>
      </c>
    </row>
    <row r="28" spans="2:8" ht="15.75" x14ac:dyDescent="0.25">
      <c r="B28" s="9" t="s">
        <v>29</v>
      </c>
      <c r="C28" s="10">
        <v>224715</v>
      </c>
      <c r="D28" s="10">
        <v>232448</v>
      </c>
      <c r="E28" s="10">
        <v>224156</v>
      </c>
      <c r="F28" s="10">
        <v>220826</v>
      </c>
      <c r="G28" s="10">
        <v>206944</v>
      </c>
      <c r="H28" s="10">
        <f>AVERAGE(C28:G28)</f>
        <v>221817.8</v>
      </c>
    </row>
    <row r="29" spans="2:8" ht="15.75" x14ac:dyDescent="0.25">
      <c r="B29" s="11" t="s">
        <v>30</v>
      </c>
      <c r="C29" s="12">
        <v>5646555</v>
      </c>
      <c r="D29" s="12">
        <v>5577692</v>
      </c>
      <c r="E29" s="12">
        <v>5580850</v>
      </c>
      <c r="F29" s="12">
        <v>5401013</v>
      </c>
      <c r="G29" s="12">
        <f>SUM(G25:G28)</f>
        <v>5259333</v>
      </c>
      <c r="H29" s="12">
        <f>AVERAGE(C29:G29)</f>
        <v>5493088.5999999996</v>
      </c>
    </row>
  </sheetData>
  <mergeCells count="4">
    <mergeCell ref="B23:H23"/>
    <mergeCell ref="B8:H8"/>
    <mergeCell ref="B9:H9"/>
    <mergeCell ref="B16:H16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18A9-6E25-45EB-A2D8-25719AB2C587}">
  <dimension ref="B1:C13"/>
  <sheetViews>
    <sheetView showGridLines="0" workbookViewId="0">
      <selection activeCell="H11" sqref="H11"/>
    </sheetView>
  </sheetViews>
  <sheetFormatPr defaultRowHeight="15" x14ac:dyDescent="0.25"/>
  <cols>
    <col min="1" max="1" width="1.28515625" customWidth="1"/>
    <col min="2" max="2" width="36.5703125" bestFit="1" customWidth="1"/>
    <col min="3" max="3" width="12.5703125" bestFit="1" customWidth="1"/>
  </cols>
  <sheetData>
    <row r="1" spans="2:3" ht="15.75" x14ac:dyDescent="0.25">
      <c r="B1" s="19" t="s">
        <v>47</v>
      </c>
    </row>
    <row r="2" spans="2:3" ht="15.75" x14ac:dyDescent="0.25">
      <c r="B2" s="19" t="s">
        <v>48</v>
      </c>
    </row>
    <row r="3" spans="2:3" ht="15.75" x14ac:dyDescent="0.25">
      <c r="B3" s="19" t="s">
        <v>49</v>
      </c>
    </row>
    <row r="4" spans="2:3" ht="15.75" x14ac:dyDescent="0.25">
      <c r="B4" s="19" t="s">
        <v>50</v>
      </c>
    </row>
    <row r="6" spans="2:3" x14ac:dyDescent="0.25">
      <c r="B6" s="32" t="s">
        <v>89</v>
      </c>
    </row>
    <row r="7" spans="2:3" ht="18" thickBot="1" x14ac:dyDescent="0.35">
      <c r="B7" s="37" t="s">
        <v>33</v>
      </c>
      <c r="C7" s="37"/>
    </row>
    <row r="8" spans="2:3" ht="18" thickBot="1" x14ac:dyDescent="0.35">
      <c r="B8" s="31" t="s">
        <v>34</v>
      </c>
      <c r="C8" s="31" t="s">
        <v>6</v>
      </c>
    </row>
    <row r="9" spans="2:3" ht="15.75" x14ac:dyDescent="0.25">
      <c r="B9" s="1" t="s">
        <v>35</v>
      </c>
      <c r="C9" s="15">
        <v>365</v>
      </c>
    </row>
    <row r="10" spans="2:3" ht="15.75" x14ac:dyDescent="0.25">
      <c r="B10" s="28" t="s">
        <v>36</v>
      </c>
      <c r="C10" s="15">
        <v>106</v>
      </c>
    </row>
    <row r="11" spans="2:3" ht="15.75" x14ac:dyDescent="0.25">
      <c r="B11" s="28" t="s">
        <v>91</v>
      </c>
      <c r="C11" s="15">
        <v>35</v>
      </c>
    </row>
    <row r="12" spans="2:3" ht="15.75" x14ac:dyDescent="0.25">
      <c r="B12" s="28" t="s">
        <v>37</v>
      </c>
      <c r="C12" s="15">
        <v>10</v>
      </c>
    </row>
    <row r="13" spans="2:3" ht="15.75" x14ac:dyDescent="0.25">
      <c r="B13" s="28" t="s">
        <v>30</v>
      </c>
      <c r="C13" s="15">
        <f>SUM(C9:C12)</f>
        <v>516</v>
      </c>
    </row>
  </sheetData>
  <mergeCells count="1">
    <mergeCell ref="B7:C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39D26-155B-4FFF-9785-5EA927D26405}">
  <dimension ref="B1:D21"/>
  <sheetViews>
    <sheetView showGridLines="0" workbookViewId="0">
      <selection activeCell="C18" sqref="C18"/>
    </sheetView>
  </sheetViews>
  <sheetFormatPr defaultRowHeight="15" x14ac:dyDescent="0.25"/>
  <cols>
    <col min="1" max="1" width="1.28515625" customWidth="1"/>
    <col min="2" max="2" width="33.42578125" customWidth="1"/>
    <col min="3" max="3" width="18.42578125" customWidth="1"/>
    <col min="4" max="4" width="150.85546875" bestFit="1" customWidth="1"/>
  </cols>
  <sheetData>
    <row r="1" spans="2:4" ht="15.75" x14ac:dyDescent="0.25">
      <c r="B1" s="19" t="s">
        <v>47</v>
      </c>
    </row>
    <row r="2" spans="2:4" ht="15.75" x14ac:dyDescent="0.25">
      <c r="B2" s="19" t="s">
        <v>48</v>
      </c>
    </row>
    <row r="3" spans="2:4" ht="15.75" x14ac:dyDescent="0.25">
      <c r="B3" s="19" t="s">
        <v>49</v>
      </c>
    </row>
    <row r="4" spans="2:4" ht="15.75" x14ac:dyDescent="0.25">
      <c r="B4" s="19" t="s">
        <v>50</v>
      </c>
    </row>
    <row r="6" spans="2:4" x14ac:dyDescent="0.25">
      <c r="B6" s="32" t="s">
        <v>85</v>
      </c>
    </row>
    <row r="7" spans="2:4" x14ac:dyDescent="0.25">
      <c r="B7" s="32" t="s">
        <v>86</v>
      </c>
    </row>
    <row r="8" spans="2:4" x14ac:dyDescent="0.25">
      <c r="B8" s="32" t="s">
        <v>90</v>
      </c>
    </row>
    <row r="9" spans="2:4" ht="18" thickBot="1" x14ac:dyDescent="0.35">
      <c r="B9" s="37" t="s">
        <v>43</v>
      </c>
      <c r="C9" s="37"/>
    </row>
    <row r="10" spans="2:4" ht="18" thickBot="1" x14ac:dyDescent="0.35">
      <c r="B10" s="31" t="s">
        <v>34</v>
      </c>
      <c r="C10" s="31" t="s">
        <v>6</v>
      </c>
    </row>
    <row r="11" spans="2:4" ht="30" x14ac:dyDescent="0.25">
      <c r="B11" s="17" t="s">
        <v>38</v>
      </c>
      <c r="C11" s="18" t="s">
        <v>46</v>
      </c>
    </row>
    <row r="12" spans="2:4" ht="39.75" customHeight="1" x14ac:dyDescent="0.25">
      <c r="B12" s="17" t="s">
        <v>39</v>
      </c>
      <c r="C12" s="20">
        <v>21322691</v>
      </c>
    </row>
    <row r="13" spans="2:4" ht="40.5" customHeight="1" x14ac:dyDescent="0.25">
      <c r="B13" s="17" t="s">
        <v>40</v>
      </c>
      <c r="C13" s="18">
        <v>853</v>
      </c>
    </row>
    <row r="14" spans="2:4" ht="28.5" customHeight="1" x14ac:dyDescent="0.25">
      <c r="B14" s="17" t="s">
        <v>41</v>
      </c>
      <c r="C14" s="18">
        <v>298</v>
      </c>
    </row>
    <row r="15" spans="2:4" ht="24.75" customHeight="1" x14ac:dyDescent="0.25">
      <c r="B15" s="17" t="s">
        <v>42</v>
      </c>
      <c r="C15" s="18">
        <v>220</v>
      </c>
      <c r="D15" s="33"/>
    </row>
    <row r="16" spans="2:4" x14ac:dyDescent="0.25">
      <c r="B16" s="16"/>
    </row>
    <row r="17" spans="2:2" x14ac:dyDescent="0.25">
      <c r="B17" s="16"/>
    </row>
    <row r="18" spans="2:2" x14ac:dyDescent="0.25">
      <c r="B18" s="16"/>
    </row>
    <row r="19" spans="2:2" x14ac:dyDescent="0.25">
      <c r="B19" s="16"/>
    </row>
    <row r="20" spans="2:2" x14ac:dyDescent="0.25">
      <c r="B20" s="16"/>
    </row>
    <row r="21" spans="2:2" x14ac:dyDescent="0.25">
      <c r="B21" s="16"/>
    </row>
  </sheetData>
  <mergeCells count="1">
    <mergeCell ref="B9:C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Estrutura e Força de Trabalho</vt:lpstr>
      <vt:lpstr>Movimentação Processual</vt:lpstr>
      <vt:lpstr>Instalações Prediais</vt:lpstr>
      <vt:lpstr>Dados do Estado</vt:lpstr>
      <vt:lpstr>'Estrutura e Força de Trabalho'!_Toc158019353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Gonçalves Veiga</dc:creator>
  <cp:lastModifiedBy>Dalila Saurine da Cunha Petraconi</cp:lastModifiedBy>
  <dcterms:created xsi:type="dcterms:W3CDTF">2025-01-08T17:41:53Z</dcterms:created>
  <dcterms:modified xsi:type="dcterms:W3CDTF">2025-01-15T16:55:10Z</dcterms:modified>
</cp:coreProperties>
</file>